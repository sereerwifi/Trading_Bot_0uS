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 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<sst xmlns="http://schemas.openxmlformats.org/spreadsheetml/2006/main" count="28" uniqueCount="28">
  <si>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XAUUSD Position Sizing Calculator</t>
  </si>
  <si>
    <t xml:space="preserve">INPUTS</t>
  </si>
  <si>
    <t xml:space="preserve">Account Balance ($)</t>
  </si>
  <si>
    <t xml:space="preserve">Your trading account equity</t>
  </si>
  <si>
    <t xml:space="preserve">Risk per Trade (%)</t>
  </si>
  <si>
    <t xml:space="preserve">Use 0.005-0.02 (0.5%-2%). Format as %</t>
  </si>
  <si>
    <t xml:space="preserve">Direction (Long/Short)</t>
  </si>
  <si>
    <t xml:space="preserve">Long</t>
  </si>
  <si>
    <t xml:space="preserve">Dropdown: Long or Short</t>
  </si>
  <si>
    <t xml:space="preserve">Entry Price</t>
  </si>
  <si>
    <t xml:space="preserve">Planned entry price</t>
  </si>
  <si>
    <t xml:space="preserve">Stop Loss Price</t>
  </si>
  <si>
    <t xml:space="preserve">Per the SL rule: beyond Fib 78.6% or swing point</t>
  </si>
  <si>
    <t xml:space="preserve">Value per $1 Move per Lot ($)</t>
  </si>
  <si>
    <t xml:space="preserve">Standard lot=100oz gold -&gt; $1 move=$100/lot. Check your broker's contract spec.</t>
  </si>
  <si>
    <t xml:space="preserve">Lot Step (min increment)</t>
  </si>
  <si>
    <t xml:space="preserve">Broker's minimum lot increment, usually 0.01</t>
  </si>
  <si>
    <t xml:space="preserve">CALCULATIONS</t>
  </si>
  <si>
    <t xml:space="preserve">Stop Distance ($ / points)</t>
  </si>
  <si>
    <t xml:space="preserve">Risk Amount ($)</t>
  </si>
  <si>
    <t xml:space="preserve">Raw Lot Size</t>
  </si>
  <si>
    <t xml:space="preserve">Lot Size (rounded to step)</t>
  </si>
  <si>
    <t xml:space="preserve">Actual Risk ($)</t>
  </si>
  <si>
    <t xml:space="preserve">Actual Risk (%)</t>
  </si>
  <si>
    <t xml:space="preserve">TARGETS (R-MULTIPLES)</t>
  </si>
  <si>
    <t xml:space="preserve">TP1 (1R) Price</t>
  </si>
  <si>
    <t xml:space="preserve">TP2 (2R) Price</t>
  </si>
  <si>
    <t xml:space="preserve">TP3 (3R) Price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</si>
</sst>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0"/>
    <numFmt numFmtId="167" formatCode="0.0000"/>
    <numFmt numFmtId="168" formatCode="0.00"/>
    <numFmt numFmtId="169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CC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n">
        <v>10000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v>0.01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  <c r="C6" s="5" t="s">
        <v>8</v>
      </c>
    </row>
    <row r="7" customFormat="false" ht="15" hidden="false" customHeight="false" outlineLevel="0" collapsed="false">
      <c r="A7" s="3" t="s">
        <v>9</v>
      </c>
      <c r="B7" s="7" t="n">
        <v>2350</v>
      </c>
      <c r="C7" s="5" t="s">
        <v>10</v>
      </c>
    </row>
    <row r="8" customFormat="false" ht="15" hidden="false" customHeight="false" outlineLevel="0" collapsed="false">
      <c r="A8" s="3" t="s">
        <v>11</v>
      </c>
      <c r="B8" s="7" t="n">
        <v>2340</v>
      </c>
      <c r="C8" s="5" t="s">
        <v>12</v>
      </c>
    </row>
    <row r="9" customFormat="false" ht="15" hidden="false" customHeight="false" outlineLevel="0" collapsed="false">
      <c r="A9" s="3" t="s">
        <v>13</v>
      </c>
      <c r="B9" s="4" t="n">
        <v>100</v>
      </c>
      <c r="C9" s="5" t="s">
        <v>14</v>
      </c>
    </row>
    <row r="10" customFormat="false" ht="15" hidden="false" customHeight="false" outlineLevel="0" collapsed="false">
      <c r="A10" s="3" t="s">
        <v>15</v>
      </c>
      <c r="B10" s="4" t="n">
        <v>0.01</v>
      </c>
      <c r="C10" s="5" t="s">
        <v>16</v>
      </c>
    </row>
    <row r="11" customFormat="false" ht="15" hidden="false" customHeight="false" outlineLevel="0" collapsed="false">
      <c r="A11" s="8"/>
      <c r="B11" s="8"/>
    </row>
    <row r="12" customFormat="false" ht="15" hidden="false" customHeight="false" outlineLevel="0" collapsed="false">
      <c r="A12" s="9" t="s">
        <v>17</v>
      </c>
      <c r="B12" s="9"/>
      <c r="C12" s="9"/>
    </row>
    <row r="13" customFormat="false" ht="15" hidden="false" customHeight="false" outlineLevel="0" collapsed="false">
      <c r="A13" s="3" t="s">
        <v>18</v>
      </c>
      <c r="B13" s="10" t="n">
        <f aca="false">ABS(B7-B8)</f>
        <v>10</v>
      </c>
    </row>
    <row r="14" customFormat="false" ht="15" hidden="false" customHeight="false" outlineLevel="0" collapsed="false">
      <c r="A14" s="3" t="s">
        <v>19</v>
      </c>
      <c r="B14" s="10" t="n">
        <f aca="false">B4*B5</f>
        <v>100</v>
      </c>
    </row>
    <row r="15" customFormat="false" ht="15" hidden="false" customHeight="false" outlineLevel="0" collapsed="false">
      <c r="A15" s="3" t="s">
        <v>20</v>
      </c>
      <c r="B15" s="11" t="n">
        <f aca="false">B14/(B13*B9)</f>
        <v>0.1</v>
      </c>
    </row>
    <row r="16" customFormat="false" ht="15" hidden="false" customHeight="false" outlineLevel="0" collapsed="false">
      <c r="A16" s="3" t="s">
        <v>21</v>
      </c>
      <c r="B16" s="12" t="n">
        <f aca="false">FLOOR(B15,B10)</f>
        <v>0.1</v>
      </c>
    </row>
    <row r="17" customFormat="false" ht="15" hidden="false" customHeight="false" outlineLevel="0" collapsed="false">
      <c r="A17" s="3" t="s">
        <v>22</v>
      </c>
      <c r="B17" s="10" t="n">
        <f aca="false">B16*B13*B9</f>
        <v>100</v>
      </c>
    </row>
    <row r="18" customFormat="false" ht="15" hidden="false" customHeight="false" outlineLevel="0" collapsed="false">
      <c r="A18" s="3" t="s">
        <v>23</v>
      </c>
      <c r="B18" s="13" t="n">
        <f aca="false">B17/B4</f>
        <v>0.01</v>
      </c>
    </row>
    <row r="19" customFormat="false" ht="15" hidden="false" customHeight="false" outlineLevel="0" collapsed="false">
      <c r="A19" s="8"/>
      <c r="B19" s="8"/>
    </row>
    <row r="20" customFormat="false" ht="15" hidden="false" customHeight="false" outlineLevel="0" collapsed="false">
      <c r="A20" s="9" t="s">
        <v>24</v>
      </c>
      <c r="B20" s="9"/>
      <c r="C20" s="9"/>
    </row>
    <row r="21" customFormat="false" ht="15" hidden="false" customHeight="false" outlineLevel="0" collapsed="false">
      <c r="A21" s="3" t="s">
        <v>25</v>
      </c>
      <c r="B21" s="10" t="n">
        <f aca="false">IF(B6="Long",B7+B13,B7-B13)</f>
        <v>2360</v>
      </c>
    </row>
    <row r="22" customFormat="false" ht="15" hidden="false" customHeight="false" outlineLevel="0" collapsed="false">
      <c r="A22" s="3" t="s">
        <v>26</v>
      </c>
      <c r="B22" s="10" t="n">
        <f aca="false">IF(B6="Long",B7+2*B13,B7-2*B13)</f>
        <v>2370</v>
      </c>
    </row>
    <row r="23" customFormat="false" ht="15" hidden="false" customHeight="false" outlineLevel="0" collapsed="false">
      <c r="A23" s="3" t="s">
        <v>27</v>
      </c>
      <c r="B23" s="10" t="n">
        <f aca="false">IF(B6="Long",B7+3*B13,B7-3*B13)</f>
        <v>2380</v>
      </c>
    </row>
  </sheetData>
  <mergeCells count="4">
    <mergeCell ref="A1:C1"/>
    <mergeCell ref="A3:C3"/>
    <mergeCell ref="A12:C12"/>
    <mergeCell ref="A20:C20"/>
  </mergeCells>
  <dataValidations count="1">
    <dataValidation allowBlank="false" errorStyle="stop" operator="between" showDropDown="false" showErrorMessage="false" showInputMessage="false" sqref="B6" type="list">
      <formula1>"Long,Short"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2026-06-18T08:31:13Z</dcterms:created>
  <dc:creator>openpyxl</dc:creator>
  <dc:description/>
  <dc:language>en-US</dc:language>
  <cp:lastModifiedBy/>
  <dcterms:modified xsi:type="dcterms:W3CDTF">2026-06-18T08:31:13Z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